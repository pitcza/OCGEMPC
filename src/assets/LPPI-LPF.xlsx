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zari\Documents\GitHub\OCGEMPC\src\assets\"/>
    </mc:Choice>
  </mc:AlternateContent>
  <xr:revisionPtr revIDLastSave="0" documentId="13_ncr:1_{43CF7DDD-809E-4F72-8510-04E98DA2F030}" xr6:coauthVersionLast="47" xr6:coauthVersionMax="47" xr10:uidLastSave="{00000000-0000-0000-0000-000000000000}"/>
  <bookViews>
    <workbookView xWindow="-108" yWindow="-108" windowWidth="23256" windowHeight="12456" xr2:uid="{A4379B76-126F-4F24-844E-2F6626CD5DC6}"/>
  </bookViews>
  <sheets>
    <sheet name="SAMPLE" sheetId="1" r:id="rId1"/>
  </sheets>
  <definedNames>
    <definedName name="_xlnm.Print_Area" localSheetId="0">SAMPLE!$A$1:$M$52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1" i="1" l="1"/>
  <c r="M42" i="1" s="1"/>
  <c r="H41" i="1"/>
  <c r="O39" i="1"/>
  <c r="O37" i="1"/>
  <c r="O36" i="1"/>
  <c r="O35" i="1"/>
  <c r="O34" i="1"/>
  <c r="O33" i="1"/>
  <c r="O32" i="1"/>
  <c r="O31" i="1"/>
  <c r="O38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M12" i="1"/>
  <c r="M43" i="1" l="1"/>
</calcChain>
</file>

<file path=xl/sharedStrings.xml><?xml version="1.0" encoding="utf-8"?>
<sst xmlns="http://schemas.openxmlformats.org/spreadsheetml/2006/main" count="45" uniqueCount="43">
  <si>
    <t>1 COOPERATIVE INSURANCE SYSTEM OF THE PHILIPPINES LIFE AND GENERAL INSURANCE</t>
  </si>
  <si>
    <t xml:space="preserve">SUMMARY REPORT FOR LOAN PAYMENT PROTECTION INSURANCE (LPPI) </t>
  </si>
  <si>
    <r>
      <rPr>
        <b/>
        <sz val="10"/>
        <rFont val="Arial"/>
        <family val="2"/>
      </rPr>
      <t>Name of Cooperative   :</t>
    </r>
    <r>
      <rPr>
        <sz val="10"/>
        <rFont val="Arial"/>
        <family val="2"/>
      </rPr>
      <t xml:space="preserve"> </t>
    </r>
  </si>
  <si>
    <t>OLONGAPO CITY GOVERNMENT EMPLOYEES MULTI PURPOSE COOPERATIVE</t>
  </si>
  <si>
    <t>44510….......3</t>
  </si>
  <si>
    <t xml:space="preserve">3rd FLOOR ANNEX BLDG. OLONGAPO CITY HALL, WEST BAJAC BAJAC, OLONGAPO CITY </t>
  </si>
  <si>
    <r>
      <rPr>
        <b/>
        <sz val="10"/>
        <rFont val="Arial"/>
        <family val="2"/>
      </rPr>
      <t xml:space="preserve">Contact Number           </t>
    </r>
    <r>
      <rPr>
        <sz val="10"/>
        <rFont val="Arial"/>
        <family val="2"/>
      </rPr>
      <t xml:space="preserve">: </t>
    </r>
  </si>
  <si>
    <t>0932-373-5919</t>
  </si>
  <si>
    <t>Email Address:</t>
  </si>
  <si>
    <t>ocgempc@yahoo.com</t>
  </si>
  <si>
    <t>Billing Statement  No.   :</t>
  </si>
  <si>
    <t>Annual Premium Rate/1,000</t>
  </si>
  <si>
    <t>Monthly Premium Rate/1,000</t>
  </si>
  <si>
    <t>Coop Service Fee</t>
  </si>
  <si>
    <t>No</t>
  </si>
  <si>
    <t>Personal Data</t>
  </si>
  <si>
    <t>Insurance / Loan Data</t>
  </si>
  <si>
    <t>Certificate No.</t>
  </si>
  <si>
    <t>Name of Insured / Borrower</t>
  </si>
  <si>
    <t>Birthdate</t>
  </si>
  <si>
    <t>Age</t>
  </si>
  <si>
    <t>Sum Insured</t>
  </si>
  <si>
    <t>Effectivity Date</t>
  </si>
  <si>
    <t>Expiry Date</t>
  </si>
  <si>
    <t>Term (Months)</t>
  </si>
  <si>
    <t>Status 
(N = New/
R = Renewal)</t>
  </si>
  <si>
    <t>Gross
Premium</t>
  </si>
  <si>
    <t>Surname</t>
  </si>
  <si>
    <t>First name</t>
  </si>
  <si>
    <t>Middle Name</t>
  </si>
  <si>
    <t>Grand Total</t>
  </si>
  <si>
    <t>Total Gross Premium Due</t>
  </si>
  <si>
    <t>Less: Service Fee</t>
  </si>
  <si>
    <t>Total Net Premium Due</t>
  </si>
  <si>
    <t xml:space="preserve">I/We hereby certify that the above listed members who do not have any health problem/declaration are not bedridden, and are able to perform the 5 activities of daily living (eating/feeding, toileting, mobility/ transferring, bathing, dressing) and not hospitalized within six (6) months prior to the application for insurance and therefore are eligible for insurance coverage. </t>
  </si>
  <si>
    <t>Certified by:</t>
  </si>
  <si>
    <t>ELISHEBA MENDOZA</t>
  </si>
  <si>
    <t>JANICE P. OLOFERNES</t>
  </si>
  <si>
    <t>Full Name, Date &amp; Signature</t>
  </si>
  <si>
    <t>GENERAL MANAGER</t>
  </si>
  <si>
    <t>LOAN OFFICER</t>
  </si>
  <si>
    <t>Title/Position</t>
  </si>
  <si>
    <t>NOTE: PLEASE EMAIL THIS REPORT TO cisp.region3@yahoo.com AND INDICATE THE Billing Statement #.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</si>
</sst>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#."/>
    <numFmt numFmtId="165" formatCode="mm/dd/yy;@"/>
    <numFmt numFmtId="166" formatCode="_(* #,##0.00_);_(* \(#,##0.00\);_(* &quot;-&quot;_);_(@_)"/>
    <numFmt numFmtId="167" formatCode="_(* #,##0_);_(* \(#,##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b/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/>
  </cellStyleXfs>
  <cellXfs count="75">
    <xf numFmtId="0" fontId="0" fillId="0" borderId="0" xfId="0"/>
    <xf numFmtId="0" fontId="3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4" fillId="0" borderId="0" xfId="0" applyFont="1" applyAlignment="1" applyProtection="1">
      <alignment vertical="center"/>
      <protection locked="0"/>
    </xf>
    <xf numFmtId="1" fontId="4" fillId="0" borderId="0" xfId="0" applyNumberFormat="1" applyFont="1" applyAlignment="1" applyProtection="1">
      <alignment horizontal="center" vertical="center"/>
      <protection locked="0"/>
    </xf>
    <xf numFmtId="41" fontId="4" fillId="0" borderId="0" xfId="0" applyNumberFormat="1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>
      <alignment horizontal="left" vertical="center"/>
    </xf>
    <xf numFmtId="0" fontId="4" fillId="0" borderId="0" xfId="0" applyFont="1" applyAlignment="1" applyProtection="1">
      <alignment horizontal="left" vertical="center"/>
      <protection locked="0"/>
    </xf>
    <xf numFmtId="1" fontId="3" fillId="0" borderId="0" xfId="0" applyNumberFormat="1" applyFont="1" applyAlignment="1" applyProtection="1">
      <alignment horizontal="center" vertical="center"/>
      <protection locked="0"/>
    </xf>
    <xf numFmtId="41" fontId="3" fillId="0" borderId="0" xfId="0" applyNumberFormat="1" applyFont="1" applyAlignment="1" applyProtection="1">
      <alignment vertical="center"/>
      <protection locked="0"/>
    </xf>
    <xf numFmtId="41" fontId="3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 applyProtection="1">
      <alignment horizontal="left" vertical="center"/>
      <protection locked="0"/>
    </xf>
    <xf numFmtId="41" fontId="4" fillId="0" borderId="0" xfId="0" applyNumberFormat="1" applyFont="1" applyAlignment="1">
      <alignment horizontal="right" vertical="center"/>
    </xf>
    <xf numFmtId="39" fontId="4" fillId="0" borderId="1" xfId="1" applyNumberFormat="1" applyFont="1" applyFill="1" applyBorder="1" applyAlignment="1" applyProtection="1">
      <alignment horizontal="center" vertical="center"/>
    </xf>
    <xf numFmtId="9" fontId="4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1" fontId="5" fillId="0" borderId="0" xfId="0" applyNumberFormat="1" applyFont="1" applyAlignment="1" applyProtection="1">
      <alignment horizontal="center" vertical="center"/>
      <protection locked="0"/>
    </xf>
    <xf numFmtId="41" fontId="5" fillId="0" borderId="0" xfId="0" applyNumberFormat="1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vertical="center" wrapText="1"/>
      <protection locked="0"/>
    </xf>
    <xf numFmtId="165" fontId="3" fillId="0" borderId="1" xfId="3" applyNumberFormat="1" applyFont="1" applyBorder="1" applyAlignment="1" applyProtection="1">
      <alignment horizontal="center" vertical="center"/>
      <protection locked="0"/>
    </xf>
    <xf numFmtId="1" fontId="3" fillId="0" borderId="1" xfId="0" applyNumberFormat="1" applyFont="1" applyBorder="1" applyAlignment="1">
      <alignment horizontal="center" vertical="center"/>
    </xf>
    <xf numFmtId="166" fontId="3" fillId="0" borderId="1" xfId="1" applyNumberFormat="1" applyFont="1" applyFill="1" applyBorder="1" applyAlignment="1" applyProtection="1">
      <alignment vertical="center"/>
      <protection locked="0"/>
    </xf>
    <xf numFmtId="0" fontId="3" fillId="0" borderId="1" xfId="0" applyFont="1" applyBorder="1" applyAlignment="1">
      <alignment horizontal="center" vertical="center"/>
    </xf>
    <xf numFmtId="167" fontId="3" fillId="0" borderId="0" xfId="0" applyNumberFormat="1" applyFont="1" applyAlignment="1">
      <alignment vertical="center"/>
    </xf>
    <xf numFmtId="0" fontId="3" fillId="0" borderId="1" xfId="0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41" fontId="3" fillId="0" borderId="1" xfId="1" applyNumberFormat="1" applyFont="1" applyFill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41" fontId="3" fillId="0" borderId="1" xfId="0" applyNumberFormat="1" applyFont="1" applyBorder="1" applyAlignment="1">
      <alignment vertical="center"/>
    </xf>
    <xf numFmtId="1" fontId="4" fillId="0" borderId="1" xfId="0" applyNumberFormat="1" applyFont="1" applyBorder="1" applyAlignment="1">
      <alignment horizontal="right" vertical="center"/>
    </xf>
    <xf numFmtId="166" fontId="4" fillId="0" borderId="1" xfId="1" applyNumberFormat="1" applyFont="1" applyFill="1" applyBorder="1" applyAlignment="1" applyProtection="1">
      <alignment vertical="center"/>
    </xf>
    <xf numFmtId="0" fontId="4" fillId="0" borderId="1" xfId="0" applyFont="1" applyBorder="1" applyAlignment="1">
      <alignment horizontal="right" vertical="center"/>
    </xf>
    <xf numFmtId="43" fontId="8" fillId="0" borderId="1" xfId="1" applyFont="1" applyFill="1" applyBorder="1" applyAlignment="1" applyProtection="1">
      <alignment vertical="center"/>
    </xf>
    <xf numFmtId="41" fontId="4" fillId="0" borderId="0" xfId="1" applyNumberFormat="1" applyFont="1" applyFill="1" applyBorder="1" applyAlignment="1" applyProtection="1">
      <alignment vertical="center"/>
      <protection locked="0"/>
    </xf>
    <xf numFmtId="0" fontId="3" fillId="0" borderId="2" xfId="0" applyFont="1" applyBorder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6" fillId="0" borderId="1" xfId="0" applyFont="1" applyBorder="1" applyAlignment="1">
      <alignment horizontal="right" vertical="center"/>
    </xf>
    <xf numFmtId="43" fontId="9" fillId="0" borderId="1" xfId="1" applyFont="1" applyFill="1" applyBorder="1" applyAlignment="1" applyProtection="1">
      <alignment vertical="center"/>
    </xf>
    <xf numFmtId="43" fontId="8" fillId="0" borderId="1" xfId="1" applyFont="1" applyBorder="1" applyAlignment="1" applyProtection="1">
      <alignment vertical="center"/>
    </xf>
    <xf numFmtId="0" fontId="3" fillId="0" borderId="0" xfId="0" applyFont="1" applyAlignment="1" applyProtection="1">
      <alignment vertical="center" wrapText="1"/>
      <protection locked="0"/>
    </xf>
    <xf numFmtId="43" fontId="3" fillId="0" borderId="1" xfId="1" applyFont="1" applyFill="1" applyBorder="1" applyAlignment="1" applyProtection="1">
      <alignment vertical="center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2" fillId="0" borderId="2" xfId="2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 wrapText="1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41" fontId="4" fillId="0" borderId="5" xfId="0" applyNumberFormat="1" applyFont="1" applyBorder="1" applyAlignment="1">
      <alignment horizontal="center" vertical="center" wrapText="1"/>
    </xf>
    <xf numFmtId="41" fontId="4" fillId="0" borderId="8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4">
    <cellStyle name="Comma" xfId="1" builtinId="3"/>
    <cellStyle name="Hyperlink" xfId="2" builtinId="8"/>
    <cellStyle name="Normal" xfId="0" builtinId="0"/>
    <cellStyle name="Normal 3" xfId="3" xr:uid="{91BBC4D4-B50F-459F-AE99-F0BFBE16DC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82764</xdr:colOff>
      <xdr:row>0</xdr:row>
      <xdr:rowOff>0</xdr:rowOff>
    </xdr:from>
    <xdr:to>
      <xdr:col>1</xdr:col>
      <xdr:colOff>792694</xdr:colOff>
      <xdr:row>4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C54835-9ECC-4F58-8A05-756322DF4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25664" y="0"/>
          <a:ext cx="70993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cgempc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C966B-8316-453A-995B-EE6E00911D05}">
  <dimension ref="A2:O52"/>
  <sheetViews>
    <sheetView tabSelected="1" view="pageBreakPreview" topLeftCell="A3" zoomScaleNormal="100" workbookViewId="0">
      <selection activeCell="I16" sqref="I16:I17"/>
    </sheetView>
  </sheetViews>
  <sheetFormatPr defaultColWidth="9.109375" defaultRowHeight="13.2" x14ac:dyDescent="0.3"/>
  <cols>
    <col min="1" max="1" width="5.109375" style="1" customWidth="1"/>
    <col min="2" max="2" width="18.5546875" style="1" customWidth="1"/>
    <col min="3" max="3" width="15.109375" style="1" customWidth="1"/>
    <col min="4" max="4" width="19.6640625" style="1" customWidth="1"/>
    <col min="5" max="5" width="15.88671875" style="1" customWidth="1"/>
    <col min="6" max="6" width="13" style="1" customWidth="1"/>
    <col min="7" max="7" width="6.5546875" style="9" customWidth="1"/>
    <col min="8" max="8" width="15.33203125" style="10" customWidth="1"/>
    <col min="9" max="9" width="13.44140625" style="1" customWidth="1"/>
    <col min="10" max="10" width="13" style="1" customWidth="1"/>
    <col min="11" max="11" width="8.5546875" style="1" customWidth="1"/>
    <col min="12" max="12" width="13" style="6" customWidth="1"/>
    <col min="13" max="13" width="11.5546875" style="1" customWidth="1"/>
    <col min="14" max="14" width="18.109375" style="1" customWidth="1"/>
    <col min="15" max="16384" width="9.109375" style="1"/>
  </cols>
  <sheetData>
    <row r="2" spans="1:14" x14ac:dyDescent="0.3">
      <c r="C2" s="2" t="s">
        <v>0</v>
      </c>
      <c r="D2" s="3"/>
      <c r="E2" s="3"/>
      <c r="F2" s="3"/>
      <c r="G2" s="4"/>
      <c r="H2" s="5"/>
      <c r="I2" s="3"/>
      <c r="J2" s="3"/>
      <c r="K2" s="3"/>
      <c r="M2" s="3"/>
    </row>
    <row r="3" spans="1:14" x14ac:dyDescent="0.3">
      <c r="C3" s="2" t="s">
        <v>1</v>
      </c>
      <c r="D3" s="3"/>
      <c r="E3" s="3"/>
      <c r="F3" s="3"/>
      <c r="G3" s="4"/>
      <c r="H3" s="5"/>
      <c r="I3" s="3"/>
      <c r="J3" s="3"/>
      <c r="K3" s="3"/>
      <c r="M3" s="3"/>
      <c r="N3" s="3"/>
    </row>
    <row r="6" spans="1:14" x14ac:dyDescent="0.3">
      <c r="A6" s="2" t="s">
        <v>2</v>
      </c>
      <c r="B6" s="3"/>
      <c r="C6" s="49" t="s">
        <v>3</v>
      </c>
      <c r="D6" s="49"/>
      <c r="E6" s="49"/>
      <c r="F6" s="49"/>
      <c r="G6" s="49"/>
      <c r="H6" s="49"/>
      <c r="I6" s="49"/>
      <c r="J6" s="49"/>
      <c r="K6" s="49"/>
      <c r="L6" s="49"/>
      <c r="M6" s="49"/>
    </row>
    <row r="7" spans="1:14" ht="5.25" customHeight="1" x14ac:dyDescent="0.3">
      <c r="A7" s="7"/>
      <c r="B7" s="8"/>
    </row>
    <row r="8" spans="1:14" ht="15.75" customHeight="1" x14ac:dyDescent="0.3">
      <c r="A8" s="7" t="s">
        <v>4</v>
      </c>
      <c r="B8" s="8"/>
      <c r="C8" s="50" t="s">
        <v>5</v>
      </c>
      <c r="D8" s="51"/>
      <c r="E8" s="51"/>
      <c r="F8" s="51"/>
      <c r="G8" s="51"/>
      <c r="H8" s="51"/>
      <c r="I8" s="51"/>
      <c r="J8" s="51"/>
      <c r="K8" s="51"/>
      <c r="L8" s="51"/>
      <c r="M8" s="52"/>
    </row>
    <row r="9" spans="1:14" ht="6.75" customHeight="1" x14ac:dyDescent="0.3">
      <c r="A9" s="7"/>
      <c r="B9" s="8"/>
      <c r="F9" s="6"/>
      <c r="H9" s="11"/>
      <c r="I9" s="6"/>
      <c r="J9" s="6"/>
      <c r="K9" s="6"/>
    </row>
    <row r="10" spans="1:14" ht="14.4" x14ac:dyDescent="0.3">
      <c r="A10" s="7" t="s">
        <v>6</v>
      </c>
      <c r="B10" s="8"/>
      <c r="C10" s="49" t="s">
        <v>7</v>
      </c>
      <c r="D10" s="49"/>
      <c r="E10" s="49"/>
      <c r="F10" s="3"/>
      <c r="J10" s="12" t="s">
        <v>8</v>
      </c>
      <c r="K10" s="53" t="s">
        <v>9</v>
      </c>
      <c r="L10" s="54"/>
      <c r="M10" s="55"/>
    </row>
    <row r="11" spans="1:14" x14ac:dyDescent="0.3">
      <c r="A11" s="13"/>
    </row>
    <row r="12" spans="1:14" x14ac:dyDescent="0.3">
      <c r="A12" s="7" t="s">
        <v>10</v>
      </c>
      <c r="B12" s="8"/>
      <c r="C12" s="14"/>
      <c r="D12" s="3"/>
      <c r="E12" s="3"/>
      <c r="F12" s="3"/>
      <c r="G12" s="1"/>
      <c r="H12" s="15" t="s">
        <v>11</v>
      </c>
      <c r="I12" s="16">
        <v>12.5</v>
      </c>
      <c r="L12" s="12" t="s">
        <v>12</v>
      </c>
      <c r="M12" s="16">
        <f>I12/12</f>
        <v>1.0416666666666667</v>
      </c>
    </row>
    <row r="13" spans="1:14" x14ac:dyDescent="0.3">
      <c r="A13" s="8"/>
      <c r="B13" s="8"/>
      <c r="C13" s="3"/>
      <c r="D13" s="3"/>
      <c r="E13" s="3"/>
      <c r="F13" s="3"/>
      <c r="G13" s="1"/>
      <c r="H13" s="15" t="s">
        <v>13</v>
      </c>
      <c r="I13" s="17">
        <v>0.1</v>
      </c>
    </row>
    <row r="14" spans="1:14" s="18" customFormat="1" x14ac:dyDescent="0.3">
      <c r="F14" s="19"/>
      <c r="G14" s="20"/>
      <c r="H14" s="21"/>
      <c r="L14" s="22"/>
    </row>
    <row r="15" spans="1:14" x14ac:dyDescent="0.3">
      <c r="A15" s="56" t="s">
        <v>14</v>
      </c>
      <c r="B15" s="59" t="s">
        <v>15</v>
      </c>
      <c r="C15" s="60"/>
      <c r="D15" s="60"/>
      <c r="E15" s="60"/>
      <c r="F15" s="60"/>
      <c r="G15" s="60"/>
      <c r="H15" s="59" t="s">
        <v>16</v>
      </c>
      <c r="I15" s="60"/>
      <c r="J15" s="60"/>
      <c r="K15" s="60"/>
      <c r="L15" s="60"/>
      <c r="M15" s="60"/>
    </row>
    <row r="16" spans="1:14" x14ac:dyDescent="0.3">
      <c r="A16" s="57"/>
      <c r="B16" s="61" t="s">
        <v>17</v>
      </c>
      <c r="C16" s="59" t="s">
        <v>18</v>
      </c>
      <c r="D16" s="60"/>
      <c r="E16" s="63"/>
      <c r="F16" s="56" t="s">
        <v>19</v>
      </c>
      <c r="G16" s="68" t="s">
        <v>20</v>
      </c>
      <c r="H16" s="70" t="s">
        <v>21</v>
      </c>
      <c r="I16" s="61" t="s">
        <v>22</v>
      </c>
      <c r="J16" s="61" t="s">
        <v>23</v>
      </c>
      <c r="K16" s="61" t="s">
        <v>24</v>
      </c>
      <c r="L16" s="72" t="s">
        <v>25</v>
      </c>
      <c r="M16" s="61" t="s">
        <v>26</v>
      </c>
      <c r="N16" s="64"/>
    </row>
    <row r="17" spans="1:15" ht="31.5" customHeight="1" x14ac:dyDescent="0.3">
      <c r="A17" s="58"/>
      <c r="B17" s="62"/>
      <c r="C17" s="23" t="s">
        <v>27</v>
      </c>
      <c r="D17" s="23" t="s">
        <v>28</v>
      </c>
      <c r="E17" s="23" t="s">
        <v>29</v>
      </c>
      <c r="F17" s="58"/>
      <c r="G17" s="69"/>
      <c r="H17" s="71"/>
      <c r="I17" s="62"/>
      <c r="J17" s="62"/>
      <c r="K17" s="62"/>
      <c r="L17" s="73"/>
      <c r="M17" s="62"/>
      <c r="N17" s="64"/>
    </row>
    <row r="18" spans="1:15" ht="24" customHeight="1" x14ac:dyDescent="0.3">
      <c r="A18" s="24"/>
      <c r="B18" s="25"/>
      <c r="C18" s="26"/>
      <c r="D18" s="26"/>
      <c r="E18" s="26"/>
      <c r="F18" s="27"/>
      <c r="G18" s="28"/>
      <c r="H18" s="29"/>
      <c r="I18" s="27"/>
      <c r="J18" s="27"/>
      <c r="K18" s="30"/>
      <c r="L18" s="25"/>
      <c r="M18" s="48"/>
      <c r="O18" s="31">
        <f>IF(K18&gt;2,K18,2)</f>
        <v>2</v>
      </c>
    </row>
    <row r="19" spans="1:15" ht="24" customHeight="1" x14ac:dyDescent="0.3">
      <c r="A19" s="24"/>
      <c r="B19" s="25"/>
      <c r="C19" s="26"/>
      <c r="D19" s="26"/>
      <c r="E19" s="26"/>
      <c r="F19" s="27"/>
      <c r="G19" s="28"/>
      <c r="H19" s="29"/>
      <c r="I19" s="27"/>
      <c r="J19" s="27"/>
      <c r="K19" s="30"/>
      <c r="L19" s="25"/>
      <c r="M19" s="48"/>
      <c r="O19" s="31">
        <f>IF(K19&gt;2,K19,2)</f>
        <v>2</v>
      </c>
    </row>
    <row r="20" spans="1:15" ht="24" customHeight="1" x14ac:dyDescent="0.3">
      <c r="A20" s="24"/>
      <c r="B20" s="25"/>
      <c r="C20" s="26"/>
      <c r="D20" s="26"/>
      <c r="E20" s="26"/>
      <c r="F20" s="27"/>
      <c r="G20" s="28"/>
      <c r="H20" s="29"/>
      <c r="I20" s="27"/>
      <c r="J20" s="27"/>
      <c r="K20" s="30"/>
      <c r="L20" s="25"/>
      <c r="M20" s="48"/>
      <c r="O20" s="31">
        <f t="shared" ref="O20:O30" si="0">IF(K20&gt;2,K20,2)</f>
        <v>2</v>
      </c>
    </row>
    <row r="21" spans="1:15" ht="24" customHeight="1" x14ac:dyDescent="0.3">
      <c r="A21" s="24"/>
      <c r="B21" s="25"/>
      <c r="C21" s="26"/>
      <c r="D21" s="26"/>
      <c r="E21" s="26"/>
      <c r="F21" s="27"/>
      <c r="G21" s="28"/>
      <c r="H21" s="29"/>
      <c r="I21" s="27"/>
      <c r="J21" s="27"/>
      <c r="K21" s="30"/>
      <c r="L21" s="25"/>
      <c r="M21" s="48"/>
      <c r="O21" s="31">
        <f>IF(K21&gt;2,K21,2)</f>
        <v>2</v>
      </c>
    </row>
    <row r="22" spans="1:15" ht="24" customHeight="1" x14ac:dyDescent="0.3">
      <c r="A22" s="24"/>
      <c r="B22" s="25"/>
      <c r="C22" s="32"/>
      <c r="D22" s="32"/>
      <c r="E22" s="32"/>
      <c r="F22" s="27"/>
      <c r="G22" s="28"/>
      <c r="H22" s="29"/>
      <c r="I22" s="27"/>
      <c r="J22" s="27"/>
      <c r="K22" s="30"/>
      <c r="L22" s="25"/>
      <c r="M22" s="48"/>
      <c r="O22" s="31">
        <f>IF(K22&gt;2,K22,2)</f>
        <v>2</v>
      </c>
    </row>
    <row r="23" spans="1:15" ht="24" customHeight="1" x14ac:dyDescent="0.3">
      <c r="A23" s="24"/>
      <c r="B23" s="25"/>
      <c r="C23" s="32"/>
      <c r="D23" s="32"/>
      <c r="E23" s="32"/>
      <c r="F23" s="27"/>
      <c r="G23" s="28"/>
      <c r="H23" s="29"/>
      <c r="I23" s="27"/>
      <c r="J23" s="27"/>
      <c r="K23" s="30"/>
      <c r="L23" s="25"/>
      <c r="M23" s="48"/>
      <c r="O23" s="31">
        <f>IF(K23&gt;2,K23,2)</f>
        <v>2</v>
      </c>
    </row>
    <row r="24" spans="1:15" ht="28.5" customHeight="1" x14ac:dyDescent="0.3">
      <c r="A24" s="24"/>
      <c r="B24" s="25"/>
      <c r="C24" s="32"/>
      <c r="D24" s="32"/>
      <c r="E24" s="32"/>
      <c r="F24" s="27"/>
      <c r="G24" s="28"/>
      <c r="H24" s="29"/>
      <c r="I24" s="27"/>
      <c r="J24" s="27"/>
      <c r="K24" s="30"/>
      <c r="L24" s="25"/>
      <c r="M24" s="48"/>
      <c r="O24" s="31">
        <f t="shared" si="0"/>
        <v>2</v>
      </c>
    </row>
    <row r="25" spans="1:15" ht="27.75" customHeight="1" x14ac:dyDescent="0.3">
      <c r="A25" s="24"/>
      <c r="B25" s="25"/>
      <c r="C25" s="32"/>
      <c r="D25" s="32"/>
      <c r="E25" s="32"/>
      <c r="F25" s="27"/>
      <c r="G25" s="28"/>
      <c r="H25" s="29"/>
      <c r="I25" s="27"/>
      <c r="J25" s="27"/>
      <c r="K25" s="30"/>
      <c r="L25" s="25"/>
      <c r="M25" s="48"/>
      <c r="O25" s="31">
        <f>IF(K25&gt;2,K25,2)</f>
        <v>2</v>
      </c>
    </row>
    <row r="26" spans="1:15" ht="28.5" customHeight="1" x14ac:dyDescent="0.3">
      <c r="A26" s="24"/>
      <c r="B26" s="25"/>
      <c r="C26" s="26"/>
      <c r="D26" s="26"/>
      <c r="E26" s="26"/>
      <c r="F26" s="27"/>
      <c r="G26" s="28"/>
      <c r="H26" s="29"/>
      <c r="I26" s="27"/>
      <c r="J26" s="27"/>
      <c r="K26" s="30"/>
      <c r="L26" s="25"/>
      <c r="M26" s="48"/>
      <c r="O26" s="31">
        <f>IF(K26&gt;2,K26,2)</f>
        <v>2</v>
      </c>
    </row>
    <row r="27" spans="1:15" ht="24" customHeight="1" x14ac:dyDescent="0.3">
      <c r="A27" s="24"/>
      <c r="B27" s="25"/>
      <c r="C27" s="26"/>
      <c r="D27" s="26"/>
      <c r="E27" s="26"/>
      <c r="F27" s="27"/>
      <c r="G27" s="28"/>
      <c r="H27" s="29"/>
      <c r="I27" s="27"/>
      <c r="J27" s="27"/>
      <c r="K27" s="30"/>
      <c r="L27" s="25"/>
      <c r="M27" s="48"/>
      <c r="O27" s="31">
        <f t="shared" si="0"/>
        <v>2</v>
      </c>
    </row>
    <row r="28" spans="1:15" ht="24.75" customHeight="1" x14ac:dyDescent="0.3">
      <c r="A28" s="24"/>
      <c r="B28" s="25"/>
      <c r="C28" s="14"/>
      <c r="D28" s="14"/>
      <c r="E28" s="33"/>
      <c r="F28" s="27"/>
      <c r="G28" s="28"/>
      <c r="H28" s="29"/>
      <c r="I28" s="27"/>
      <c r="J28" s="27"/>
      <c r="K28" s="30"/>
      <c r="L28" s="25"/>
      <c r="M28" s="48"/>
      <c r="O28" s="31">
        <f t="shared" si="0"/>
        <v>2</v>
      </c>
    </row>
    <row r="29" spans="1:15" ht="24" customHeight="1" x14ac:dyDescent="0.3">
      <c r="A29" s="24"/>
      <c r="B29" s="25"/>
      <c r="C29" s="14"/>
      <c r="D29" s="14"/>
      <c r="E29" s="33"/>
      <c r="F29" s="27"/>
      <c r="G29" s="28"/>
      <c r="H29" s="29"/>
      <c r="I29" s="27"/>
      <c r="J29" s="27"/>
      <c r="K29" s="30"/>
      <c r="L29" s="25"/>
      <c r="M29" s="48"/>
      <c r="O29" s="31">
        <f t="shared" si="0"/>
        <v>2</v>
      </c>
    </row>
    <row r="30" spans="1:15" ht="24" customHeight="1" x14ac:dyDescent="0.3">
      <c r="A30" s="24"/>
      <c r="B30" s="25"/>
      <c r="C30" s="14"/>
      <c r="D30" s="14"/>
      <c r="E30" s="33"/>
      <c r="F30" s="27"/>
      <c r="G30" s="28"/>
      <c r="H30" s="29"/>
      <c r="I30" s="27"/>
      <c r="J30" s="27"/>
      <c r="K30" s="30"/>
      <c r="L30" s="25"/>
      <c r="M30" s="48"/>
      <c r="O30" s="31">
        <f t="shared" si="0"/>
        <v>2</v>
      </c>
    </row>
    <row r="31" spans="1:15" ht="24" customHeight="1" x14ac:dyDescent="0.3">
      <c r="A31" s="24"/>
      <c r="B31" s="25"/>
      <c r="C31" s="14"/>
      <c r="D31" s="14"/>
      <c r="E31" s="32"/>
      <c r="F31" s="27"/>
      <c r="G31" s="28"/>
      <c r="H31" s="29"/>
      <c r="I31" s="27"/>
      <c r="J31" s="27"/>
      <c r="K31" s="30"/>
      <c r="L31" s="25"/>
      <c r="M31" s="48"/>
      <c r="O31" s="31">
        <f t="shared" ref="O31:O35" si="1">IF(K32&gt;2,K32,2)</f>
        <v>2</v>
      </c>
    </row>
    <row r="32" spans="1:15" ht="25.5" customHeight="1" x14ac:dyDescent="0.3">
      <c r="A32" s="24"/>
      <c r="B32" s="25"/>
      <c r="C32" s="14"/>
      <c r="D32" s="14"/>
      <c r="E32" s="26"/>
      <c r="F32" s="27"/>
      <c r="G32" s="28"/>
      <c r="H32" s="29"/>
      <c r="I32" s="27"/>
      <c r="J32" s="27"/>
      <c r="K32" s="30"/>
      <c r="L32" s="25"/>
      <c r="M32" s="48"/>
      <c r="O32" s="31">
        <f t="shared" si="1"/>
        <v>2</v>
      </c>
    </row>
    <row r="33" spans="1:15" ht="24" customHeight="1" x14ac:dyDescent="0.3">
      <c r="A33" s="24"/>
      <c r="B33" s="25"/>
      <c r="C33" s="26"/>
      <c r="D33" s="26"/>
      <c r="E33" s="26"/>
      <c r="F33" s="27"/>
      <c r="G33" s="28"/>
      <c r="H33" s="29"/>
      <c r="I33" s="27"/>
      <c r="J33" s="27"/>
      <c r="K33" s="30"/>
      <c r="L33" s="25"/>
      <c r="M33" s="48"/>
      <c r="O33" s="31">
        <f t="shared" si="1"/>
        <v>2</v>
      </c>
    </row>
    <row r="34" spans="1:15" ht="24" customHeight="1" x14ac:dyDescent="0.3">
      <c r="A34" s="24"/>
      <c r="B34" s="25"/>
      <c r="C34" s="26"/>
      <c r="D34" s="26"/>
      <c r="E34" s="26"/>
      <c r="F34" s="27"/>
      <c r="G34" s="28"/>
      <c r="H34" s="34"/>
      <c r="I34" s="27"/>
      <c r="J34" s="27"/>
      <c r="K34" s="30"/>
      <c r="L34" s="25"/>
      <c r="M34" s="48"/>
      <c r="O34" s="31">
        <f t="shared" si="1"/>
        <v>2</v>
      </c>
    </row>
    <row r="35" spans="1:15" ht="24" customHeight="1" x14ac:dyDescent="0.3">
      <c r="A35" s="24"/>
      <c r="B35" s="25"/>
      <c r="C35" s="26"/>
      <c r="D35" s="26"/>
      <c r="E35" s="26"/>
      <c r="F35" s="27"/>
      <c r="G35" s="28"/>
      <c r="H35" s="34"/>
      <c r="I35" s="27"/>
      <c r="J35" s="27"/>
      <c r="K35" s="30"/>
      <c r="L35" s="25"/>
      <c r="M35" s="48"/>
      <c r="O35" s="31">
        <f t="shared" si="1"/>
        <v>2</v>
      </c>
    </row>
    <row r="36" spans="1:15" ht="24.75" customHeight="1" x14ac:dyDescent="0.3">
      <c r="A36" s="24"/>
      <c r="B36" s="25"/>
      <c r="C36" s="32"/>
      <c r="D36" s="32"/>
      <c r="E36" s="32"/>
      <c r="F36" s="27"/>
      <c r="G36" s="28"/>
      <c r="H36" s="34"/>
      <c r="I36" s="27"/>
      <c r="J36" s="27"/>
      <c r="K36" s="30"/>
      <c r="L36" s="25"/>
      <c r="M36" s="48"/>
      <c r="O36" s="31">
        <f>IF(K38&gt;2,K38,2)</f>
        <v>2</v>
      </c>
    </row>
    <row r="37" spans="1:15" ht="22.5" customHeight="1" x14ac:dyDescent="0.3">
      <c r="A37" s="24"/>
      <c r="B37" s="25"/>
      <c r="C37" s="32"/>
      <c r="D37" s="32"/>
      <c r="E37" s="32"/>
      <c r="F37" s="27"/>
      <c r="G37" s="28"/>
      <c r="H37" s="34"/>
      <c r="I37" s="27"/>
      <c r="J37" s="27"/>
      <c r="K37" s="30"/>
      <c r="L37" s="25"/>
      <c r="M37" s="48"/>
      <c r="O37" s="31">
        <f>IF(K37&gt;2,K37,2)</f>
        <v>2</v>
      </c>
    </row>
    <row r="38" spans="1:15" ht="27" customHeight="1" x14ac:dyDescent="0.3">
      <c r="A38" s="24"/>
      <c r="B38" s="25"/>
      <c r="C38" s="26"/>
      <c r="D38" s="26"/>
      <c r="E38" s="26"/>
      <c r="F38" s="27"/>
      <c r="G38" s="28"/>
      <c r="H38" s="34"/>
      <c r="I38" s="27"/>
      <c r="J38" s="27"/>
      <c r="K38" s="30"/>
      <c r="L38" s="25"/>
      <c r="M38" s="48"/>
      <c r="O38" s="31">
        <f>IF(K31&gt;2,K31,2)</f>
        <v>2</v>
      </c>
    </row>
    <row r="39" spans="1:15" ht="29.25" customHeight="1" x14ac:dyDescent="0.3">
      <c r="A39" s="24"/>
      <c r="B39" s="25"/>
      <c r="C39" s="32"/>
      <c r="D39" s="32"/>
      <c r="E39" s="32"/>
      <c r="F39" s="27"/>
      <c r="G39" s="28"/>
      <c r="H39" s="34"/>
      <c r="I39" s="27"/>
      <c r="J39" s="27"/>
      <c r="K39" s="30"/>
      <c r="L39" s="25"/>
      <c r="M39" s="48"/>
      <c r="O39" s="31">
        <f>IF(K39&gt;2,K39,2)</f>
        <v>2</v>
      </c>
    </row>
    <row r="40" spans="1:15" ht="24.75" customHeight="1" x14ac:dyDescent="0.3">
      <c r="A40" s="24"/>
      <c r="B40" s="35"/>
      <c r="C40" s="32"/>
      <c r="D40" s="32"/>
      <c r="E40" s="32"/>
      <c r="F40" s="27"/>
      <c r="G40" s="28"/>
      <c r="H40" s="36"/>
      <c r="I40" s="27"/>
      <c r="J40" s="27"/>
      <c r="K40" s="30"/>
      <c r="L40" s="25"/>
      <c r="M40" s="48"/>
    </row>
    <row r="41" spans="1:15" ht="15.75" customHeight="1" x14ac:dyDescent="0.3">
      <c r="F41" s="32"/>
      <c r="G41" s="37" t="s">
        <v>30</v>
      </c>
      <c r="H41" s="38">
        <f>SUM(H18:H39)</f>
        <v>0</v>
      </c>
      <c r="J41" s="32"/>
      <c r="K41" s="32"/>
      <c r="L41" s="39" t="s">
        <v>31</v>
      </c>
      <c r="M41" s="40">
        <f>SUM(M18:M40)</f>
        <v>0</v>
      </c>
    </row>
    <row r="42" spans="1:15" ht="15.75" customHeight="1" x14ac:dyDescent="0.3">
      <c r="B42" s="3"/>
      <c r="H42" s="41"/>
      <c r="J42" s="42"/>
      <c r="K42" s="43"/>
      <c r="L42" s="44" t="s">
        <v>32</v>
      </c>
      <c r="M42" s="45">
        <f>M41*10%</f>
        <v>0</v>
      </c>
    </row>
    <row r="43" spans="1:15" ht="15.75" customHeight="1" x14ac:dyDescent="0.3">
      <c r="J43" s="32"/>
      <c r="K43" s="32"/>
      <c r="L43" s="39" t="s">
        <v>33</v>
      </c>
      <c r="M43" s="46">
        <f>M41-M42</f>
        <v>0</v>
      </c>
    </row>
    <row r="44" spans="1:15" ht="57.75" customHeight="1" x14ac:dyDescent="0.3">
      <c r="B44" s="65" t="s">
        <v>34</v>
      </c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47"/>
      <c r="O44" s="47"/>
    </row>
    <row r="45" spans="1:15" x14ac:dyDescent="0.3">
      <c r="B45" s="2" t="s">
        <v>35</v>
      </c>
      <c r="H45" s="5"/>
    </row>
    <row r="47" spans="1:15" x14ac:dyDescent="0.3">
      <c r="B47" s="66" t="s">
        <v>36</v>
      </c>
      <c r="C47" s="66"/>
      <c r="D47" s="66"/>
      <c r="H47" s="66" t="s">
        <v>37</v>
      </c>
      <c r="I47" s="66"/>
      <c r="J47" s="66"/>
    </row>
    <row r="48" spans="1:15" x14ac:dyDescent="0.3">
      <c r="B48" s="67" t="s">
        <v>38</v>
      </c>
      <c r="C48" s="67"/>
      <c r="D48" s="67"/>
      <c r="H48" s="67" t="s">
        <v>38</v>
      </c>
      <c r="I48" s="67"/>
      <c r="J48" s="67"/>
    </row>
    <row r="49" spans="2:10" ht="14.25" customHeight="1" x14ac:dyDescent="0.3">
      <c r="B49" s="66" t="s">
        <v>39</v>
      </c>
      <c r="C49" s="66"/>
      <c r="D49" s="66"/>
      <c r="H49" s="66" t="s">
        <v>40</v>
      </c>
      <c r="I49" s="66"/>
      <c r="J49" s="66"/>
    </row>
    <row r="50" spans="2:10" x14ac:dyDescent="0.3">
      <c r="B50" s="67" t="s">
        <v>41</v>
      </c>
      <c r="C50" s="67"/>
      <c r="D50" s="67"/>
      <c r="H50" s="74" t="s">
        <v>41</v>
      </c>
      <c r="I50" s="74"/>
      <c r="J50" s="74"/>
    </row>
    <row r="52" spans="2:10" x14ac:dyDescent="0.3">
      <c r="B52" s="2" t="s">
        <v>42</v>
      </c>
    </row>
  </sheetData>
  <protectedRanges>
    <protectedRange sqref="G18:G40" name="AGE"/>
    <protectedRange sqref="M18:M40" name="PREMIUM"/>
    <protectedRange sqref="H41" name="TOTAL LOAN INSURED"/>
    <protectedRange sqref="M41:M43" name="PREMIUM_1"/>
  </protectedRanges>
  <mergeCells count="27">
    <mergeCell ref="B49:D49"/>
    <mergeCell ref="H49:J49"/>
    <mergeCell ref="B50:D50"/>
    <mergeCell ref="H50:J50"/>
    <mergeCell ref="M16:M17"/>
    <mergeCell ref="N16:N17"/>
    <mergeCell ref="B44:M44"/>
    <mergeCell ref="B47:D47"/>
    <mergeCell ref="H47:J47"/>
    <mergeCell ref="B48:D48"/>
    <mergeCell ref="H48:J48"/>
    <mergeCell ref="G16:G17"/>
    <mergeCell ref="H16:H17"/>
    <mergeCell ref="I16:I17"/>
    <mergeCell ref="J16:J17"/>
    <mergeCell ref="K16:K17"/>
    <mergeCell ref="L16:L17"/>
    <mergeCell ref="C6:M6"/>
    <mergeCell ref="C8:M8"/>
    <mergeCell ref="C10:E10"/>
    <mergeCell ref="K10:M10"/>
    <mergeCell ref="A15:A17"/>
    <mergeCell ref="B15:G15"/>
    <mergeCell ref="H15:M15"/>
    <mergeCell ref="B16:B17"/>
    <mergeCell ref="C16:E16"/>
    <mergeCell ref="F16:F17"/>
  </mergeCells>
  <hyperlinks>
    <hyperlink ref="K10" r:id="rId1" xr:uid="{BE85477F-63CD-44DA-AD19-A983C1627462}"/>
  </hyperlinks>
  <pageMargins left="0.2" right="0.2" top="0.5" bottom="0.25" header="0.3" footer="0.3"/>
  <pageSetup scale="55" orientation="landscape" horizontalDpi="360" verticalDpi="36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SAMPLE</vt:lpstr>
      <vt:lpstr>SAMPLE!Print_Area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</dc:creator>
  <cp:lastModifiedBy>Czarina Jane Arellano</cp:lastModifiedBy>
  <dcterms:created xsi:type="dcterms:W3CDTF">2025-04-22T06:13:33Z</dcterms:created>
  <dcterms:modified xsi:type="dcterms:W3CDTF">2025-09-29T08:52:59Z</dcterms:modified>
</cp:coreProperties>
</file>